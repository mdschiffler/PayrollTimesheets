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5021 - JOAN MORALES COSME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<sst xmlns="http://schemas.openxmlformats.org/spreadsheetml/2006/main" count="95" uniqueCount="34">
  <si>
    <t>Location</t>
  </si>
  <si>
    <t>Date</t>
  </si>
  <si>
    <t>Start</t>
  </si>
  <si>
    <t>End</t>
  </si>
  <si>
    <t>Hours</t>
  </si>
  <si>
    <t>Details</t>
  </si>
  <si>
    <t>Maru</t>
  </si>
  <si>
    <t>11/02/2025</t>
  </si>
  <si>
    <t>09:57:51</t>
  </si>
  <si>
    <t>15:55:06</t>
  </si>
  <si>
    <t>Person ID: 11089, Name: MARIA ARROYO MUNOZ</t>
  </si>
  <si>
    <t>Period: 2025-10-30 to 2025-11-05</t>
  </si>
  <si>
    <t>Casa Damisela Apt 5, Mango Villas Apt 1, etc.</t>
  </si>
  <si>
    <t>Total $</t>
  </si>
  <si>
    <t>Summary</t>
  </si>
  <si>
    <t>Subtotal $</t>
  </si>
  <si>
    <t>Rate $</t>
  </si>
  <si>
    <t>Total hours</t>
  </si>
  <si>
    <t>Check-in</t>
  </si>
  <si>
    <t>Check-out</t>
  </si>
  <si>
    <t>Extras $</t>
  </si>
  <si>
    <t>Annual withheld $ (limit $500)</t>
  </si>
  <si>
    <t>10% withheld today $</t>
  </si>
  <si>
    <t>10/30/2025</t>
  </si>
  <si>
    <t>11/01/2025</t>
  </si>
  <si>
    <t>10:26:00</t>
  </si>
  <si>
    <t>10:24:28</t>
  </si>
  <si>
    <t>16:08:38</t>
  </si>
  <si>
    <t>16:23:03</t>
  </si>
  <si>
    <t>Person ID: 15021, Name: JOAN MORALES COSME</t>
  </si>
  <si>
    <t>10:00:01</t>
  </si>
  <si>
    <t>16:08:30</t>
  </si>
  <si>
    <t>Person ID: 18353, Name: WILMARIE OCASIO ARROYO</t>
  </si>
  <si>
    <t>Supervisor ($150)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</si>
</sst>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/>
    <xf numFmtId="164" fontId="0" fillId="2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1" t="s">
        <v>10</v>
      </c>
      <c r="B1" s="1"/>
    </row>
    <row r="2" spans="1:6">
      <c r="A2" t="s">
        <v>11</v>
      </c>
    </row>
    <row r="4" spans="1:6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>
      <c r="A5" t="s">
        <v>6</v>
      </c>
      <c r="B5" t="s">
        <v>7</v>
      </c>
      <c r="C5" t="s">
        <v>8</v>
      </c>
      <c r="D5" t="s">
        <v>9</v>
      </c>
      <c r="E5">
        <v>5.95</v>
      </c>
    </row>
    <row r="6" spans="1:6">
      <c r="A6" t="s">
        <v>17</v>
      </c>
      <c r="E6">
        <v>5.95</v>
      </c>
    </row>
    <row r="7" spans="1:6">
      <c r="A7" t="s">
        <v>16</v>
      </c>
      <c r="E7" s="3">
        <v>17</v>
      </c>
    </row>
    <row r="8" spans="1:6">
      <c r="A8" t="s">
        <v>13</v>
      </c>
      <c r="E8" s="3">
        <f>E7 * E6</f>
        <v>0</v>
      </c>
    </row>
    <row r="11" spans="1:6">
      <c r="A11" s="4" t="s">
        <v>0</v>
      </c>
      <c r="B11" s="4" t="s">
        <v>1</v>
      </c>
      <c r="C11" s="4" t="s">
        <v>18</v>
      </c>
      <c r="D11" s="4" t="s">
        <v>19</v>
      </c>
      <c r="E11" s="4" t="s">
        <v>16</v>
      </c>
      <c r="F11" s="4" t="s">
        <v>5</v>
      </c>
    </row>
    <row r="12" spans="1:6">
      <c r="A12" t="s">
        <v>12</v>
      </c>
    </row>
    <row r="13" spans="1:6">
      <c r="A13" t="s">
        <v>13</v>
      </c>
      <c r="E13" s="3">
        <f>SUM(E12:E12)</f>
        <v>0</v>
      </c>
    </row>
    <row r="17" spans="1:6">
      <c r="A17" s="4" t="s">
        <v>14</v>
      </c>
      <c r="B17" s="4"/>
      <c r="C17" s="4"/>
      <c r="D17" s="4"/>
      <c r="E17" s="4"/>
      <c r="F17" s="4"/>
    </row>
    <row r="18" spans="1:6">
      <c r="A18" t="s">
        <v>20</v>
      </c>
      <c r="E18" s="3">
        <v>0</v>
      </c>
    </row>
    <row r="19" spans="1:6">
      <c r="A19" t="s">
        <v>15</v>
      </c>
      <c r="E19" s="3">
        <f>E8 + E13 + E18</f>
        <v>0</v>
      </c>
    </row>
    <row r="20" spans="1:6">
      <c r="A20" t="s">
        <v>21</v>
      </c>
      <c r="E20" s="3">
        <v>500</v>
      </c>
    </row>
    <row r="21" spans="1:6">
      <c r="A21" t="s">
        <v>22</v>
      </c>
      <c r="E21" s="3">
        <f>IF(E20=500, E19*0.10, 0)</f>
        <v>0</v>
      </c>
    </row>
    <row r="23" spans="1:6">
      <c r="A23" t="s">
        <v>13</v>
      </c>
      <c r="E23" s="5">
        <f>E19 - E21</f>
        <v>0</v>
      </c>
    </row>
  </sheetData>
  <mergeCells count="1">
    <mergeCell ref="A17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1" t="s">
        <v>29</v>
      </c>
      <c r="B1" s="1"/>
    </row>
    <row r="2" spans="1:6">
      <c r="A2" t="s">
        <v>11</v>
      </c>
    </row>
    <row r="4" spans="1:6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>
      <c r="A5" t="s">
        <v>6</v>
      </c>
      <c r="B5" t="s">
        <v>23</v>
      </c>
      <c r="C5" t="s">
        <v>25</v>
      </c>
      <c r="D5" t="s">
        <v>27</v>
      </c>
      <c r="E5">
        <v>5.71</v>
      </c>
    </row>
    <row r="6" spans="1:6">
      <c r="A6" t="s">
        <v>6</v>
      </c>
      <c r="B6" t="s">
        <v>24</v>
      </c>
      <c r="C6" t="s">
        <v>26</v>
      </c>
      <c r="D6" t="s">
        <v>28</v>
      </c>
      <c r="E6">
        <v>5.98</v>
      </c>
    </row>
    <row r="7" spans="1:6">
      <c r="A7" t="s">
        <v>17</v>
      </c>
      <c r="E7">
        <v>11.69</v>
      </c>
    </row>
    <row r="8" spans="1:6">
      <c r="A8" t="s">
        <v>16</v>
      </c>
      <c r="E8" s="3">
        <v>15</v>
      </c>
    </row>
    <row r="9" spans="1:6">
      <c r="A9" t="s">
        <v>13</v>
      </c>
      <c r="E9" s="3">
        <f>E8 * E7</f>
        <v>0</v>
      </c>
    </row>
    <row r="12" spans="1:6">
      <c r="A12" s="4" t="s">
        <v>0</v>
      </c>
      <c r="B12" s="4" t="s">
        <v>1</v>
      </c>
      <c r="C12" s="4" t="s">
        <v>18</v>
      </c>
      <c r="D12" s="4" t="s">
        <v>19</v>
      </c>
      <c r="E12" s="4" t="s">
        <v>16</v>
      </c>
      <c r="F12" s="4" t="s">
        <v>5</v>
      </c>
    </row>
    <row r="13" spans="1:6">
      <c r="A13" t="s">
        <v>12</v>
      </c>
    </row>
    <row r="14" spans="1:6">
      <c r="A14" t="s">
        <v>13</v>
      </c>
      <c r="E14" s="3">
        <f>SUM(E13:E13)</f>
        <v>0</v>
      </c>
    </row>
    <row r="18" spans="1:6">
      <c r="A18" s="4" t="s">
        <v>14</v>
      </c>
      <c r="B18" s="4"/>
      <c r="C18" s="4"/>
      <c r="D18" s="4"/>
      <c r="E18" s="4"/>
      <c r="F18" s="4"/>
    </row>
    <row r="19" spans="1:6">
      <c r="A19" t="s">
        <v>20</v>
      </c>
      <c r="E19" s="3">
        <v>0</v>
      </c>
    </row>
    <row r="20" spans="1:6">
      <c r="A20" t="s">
        <v>15</v>
      </c>
      <c r="E20" s="3">
        <f>E9 + E14 + E19</f>
        <v>0</v>
      </c>
    </row>
    <row r="21" spans="1:6">
      <c r="A21" t="s">
        <v>21</v>
      </c>
      <c r="E21" s="6">
        <v>0</v>
      </c>
    </row>
    <row r="22" spans="1:6">
      <c r="A22" t="s">
        <v>22</v>
      </c>
      <c r="E22" s="3">
        <f>IF(E21=500, E20*0.10, 0)</f>
        <v>0</v>
      </c>
    </row>
    <row r="24" spans="1:6">
      <c r="A24" t="s">
        <v>13</v>
      </c>
      <c r="E24" s="5">
        <f>E20 - E22</f>
        <v>0</v>
      </c>
    </row>
  </sheetData>
  <mergeCells count="1">
    <mergeCell ref="A18:F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1" t="s">
        <v>32</v>
      </c>
      <c r="B1" s="1"/>
    </row>
    <row r="2" spans="1:6">
      <c r="A2" t="s">
        <v>11</v>
      </c>
    </row>
    <row r="4" spans="1:6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>
      <c r="A5" t="s">
        <v>6</v>
      </c>
      <c r="B5" t="s">
        <v>23</v>
      </c>
      <c r="C5" t="s">
        <v>30</v>
      </c>
      <c r="D5" t="s">
        <v>31</v>
      </c>
      <c r="E5">
        <v>6.14</v>
      </c>
    </row>
    <row r="6" spans="1:6">
      <c r="A6" t="s">
        <v>17</v>
      </c>
      <c r="E6">
        <v>6.14</v>
      </c>
    </row>
    <row r="7" spans="1:6">
      <c r="A7" t="s">
        <v>16</v>
      </c>
      <c r="E7" s="3">
        <v>17</v>
      </c>
    </row>
    <row r="8" spans="1:6">
      <c r="A8" t="s">
        <v>13</v>
      </c>
      <c r="E8" s="3">
        <f>E7 * E6</f>
        <v>0</v>
      </c>
    </row>
    <row r="11" spans="1:6">
      <c r="A11" s="4" t="s">
        <v>0</v>
      </c>
      <c r="B11" s="4" t="s">
        <v>1</v>
      </c>
      <c r="C11" s="4" t="s">
        <v>18</v>
      </c>
      <c r="D11" s="4" t="s">
        <v>19</v>
      </c>
      <c r="E11" s="4" t="s">
        <v>16</v>
      </c>
      <c r="F11" s="4" t="s">
        <v>5</v>
      </c>
    </row>
    <row r="12" spans="1:6">
      <c r="A12" t="s">
        <v>12</v>
      </c>
    </row>
    <row r="13" spans="1:6">
      <c r="A13" t="s">
        <v>13</v>
      </c>
      <c r="E13" s="3">
        <f>SUM(E12:E12)</f>
        <v>0</v>
      </c>
    </row>
    <row r="17" spans="1:6">
      <c r="A17" s="4" t="s">
        <v>14</v>
      </c>
      <c r="B17" s="4"/>
      <c r="C17" s="4"/>
      <c r="D17" s="4"/>
      <c r="E17" s="4"/>
      <c r="F17" s="4"/>
    </row>
    <row r="18" spans="1:6">
      <c r="A18" t="s">
        <v>20</v>
      </c>
      <c r="E18" s="3">
        <v>150</v>
      </c>
      <c r="F18" t="s">
        <v>33</v>
      </c>
    </row>
    <row r="19" spans="1:6">
      <c r="A19" t="s">
        <v>15</v>
      </c>
      <c r="E19" s="3">
        <f>E8 + E13 + E18</f>
        <v>0</v>
      </c>
    </row>
    <row r="20" spans="1:6">
      <c r="A20" t="s">
        <v>21</v>
      </c>
      <c r="E20" s="3">
        <v>500</v>
      </c>
    </row>
    <row r="21" spans="1:6">
      <c r="A21" t="s">
        <v>22</v>
      </c>
      <c r="E21" s="3">
        <f>IF(E20=500, E19*0.10, 0)</f>
        <v>0</v>
      </c>
    </row>
    <row r="23" spans="1:6">
      <c r="A23" t="s">
        <v>13</v>
      </c>
      <c r="E23" s="5">
        <f>E19 - E21</f>
        <v>0</v>
      </c>
    </row>
  </sheetData>
  <mergeCells count="1">
    <mergeCell ref="A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15021 - JOAN MORALES COSME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2025-11-06T01:46:56Z</dcterms:created>
  <dcterms:modified xsi:type="dcterms:W3CDTF">2025-11-06T01:46:56Z</dcterms:modified>
</cp:coreProperties>
</file>
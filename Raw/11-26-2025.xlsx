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1089 - MARIA ARROYO MUNOZ" sheetId="2" r:id="rId2"/>
    <sheet name="14886 - NAISHA ROSA LEBRÓN" sheetId="3" r:id="rId3"/>
    <sheet name="18353 - WILMARIE OCASIO ARROYO" sheetId="4" r:id="rId4"/>
  </sheets>
  <calcPr calcId="124519" fullCalcOnLoad="1"/>
</workbook>
</file>

<file path=xl/sharedStrings.xml><?xml version="1.0" encoding="utf-8"?>
<sst xmlns="http://schemas.openxmlformats.org/spreadsheetml/2006/main" count="122" uniqueCount="51">
  <si>
    <t>Location</t>
  </si>
  <si>
    <t>Date</t>
  </si>
  <si>
    <t>Start</t>
  </si>
  <si>
    <t>End</t>
  </si>
  <si>
    <t>Hours</t>
  </si>
  <si>
    <t>Details</t>
  </si>
  <si>
    <t>Maru</t>
  </si>
  <si>
    <t>11/20/2025</t>
  </si>
  <si>
    <t>11/24/2025</t>
  </si>
  <si>
    <t>11/26/2025</t>
  </si>
  <si>
    <t>09:26:13</t>
  </si>
  <si>
    <t>08:54:01</t>
  </si>
  <si>
    <t>09:56:49</t>
  </si>
  <si>
    <t>13:47:53</t>
  </si>
  <si>
    <t>16:04:36</t>
  </si>
  <si>
    <t>15:00:19</t>
  </si>
  <si>
    <t>Person ID: 11089, Name: MARIA ARROYO MUNOZ</t>
  </si>
  <si>
    <t>Period: 2025-11-20 to 2025-11-26</t>
  </si>
  <si>
    <t>Casa Damisela Apt 5, Mango Villas Apt 1, etc.</t>
  </si>
  <si>
    <t>Total $</t>
  </si>
  <si>
    <t>Summary</t>
  </si>
  <si>
    <t>Subtotal $</t>
  </si>
  <si>
    <t>Rate $</t>
  </si>
  <si>
    <t>Total hours</t>
  </si>
  <si>
    <t>Check-in</t>
  </si>
  <si>
    <t>Check-out</t>
  </si>
  <si>
    <t>Extras $</t>
  </si>
  <si>
    <t>Annual withheld, incl. today $ (limit $500)</t>
  </si>
  <si>
    <t>10% withheld today $</t>
  </si>
  <si>
    <t>11/25/2025</t>
  </si>
  <si>
    <t>09:14:26</t>
  </si>
  <si>
    <t>08:47:15</t>
  </si>
  <si>
    <t>11:17:16</t>
  </si>
  <si>
    <t>09:54:09</t>
  </si>
  <si>
    <t>13:47:46</t>
  </si>
  <si>
    <t>16:04:06</t>
  </si>
  <si>
    <t>15:03:31</t>
  </si>
  <si>
    <t>15:00:46</t>
  </si>
  <si>
    <t>Person ID: 14886, Name: NAISHA ROSA LEBRÓN</t>
  </si>
  <si>
    <t>08:08:53</t>
  </si>
  <si>
    <t>07:56:32</t>
  </si>
  <si>
    <t>13:26:30</t>
  </si>
  <si>
    <t>16:04:28</t>
  </si>
  <si>
    <t>Person ID: 18353, Name: WILMARIE OCASIO ARROYO</t>
  </si>
  <si>
    <t>Supervisor ($150)</t>
  </si>
  <si>
    <t>Person</t>
  </si>
  <si>
    <t>Total Hours</t>
  </si>
  <si>
    <t>11089 - MARIA ARROYO MUNOZ</t>
  </si>
  <si>
    <t>14886 - NAISHA ROSA LEBRÓN</t>
  </si>
  <si>
    <t>18353 - WILMARIE OCASIO ARROYO</t>
  </si>
  <si>
    <t>All sheets 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</si>
</sst>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3" width="18.7109375" customWidth="1"/>
  </cols>
  <sheetData>
    <row r="1" spans="1:3">
      <c r="A1" s="1" t="s">
        <v>45</v>
      </c>
      <c r="B1" s="1" t="s">
        <v>46</v>
      </c>
      <c r="C1" s="1" t="s">
        <v>19</v>
      </c>
    </row>
    <row r="2" spans="1:3">
      <c r="A2" t="s">
        <v>47</v>
      </c>
      <c r="B2">
        <f>'11089 - MARIA ARROYO MUNOZ'!E8</f>
        <v>0</v>
      </c>
      <c r="C2" s="2">
        <f>'11089 - MARIA ARROYO MUNOZ'!E25</f>
        <v>0</v>
      </c>
    </row>
    <row r="3" spans="1:3">
      <c r="A3" t="s">
        <v>48</v>
      </c>
      <c r="B3">
        <f>'14886 - NAISHA ROSA LEBRÓN'!E9</f>
        <v>0</v>
      </c>
      <c r="C3" s="2">
        <f>'14886 - NAISHA ROSA LEBRÓN'!E26</f>
        <v>0</v>
      </c>
    </row>
    <row r="4" spans="1:3">
      <c r="A4" t="s">
        <v>49</v>
      </c>
      <c r="B4">
        <f>'18353 - WILMARIE OCASIO ARROYO'!E7</f>
        <v>0</v>
      </c>
      <c r="C4" s="2">
        <f>'18353 - WILMARIE OCASIO ARROYO'!E24</f>
        <v>0</v>
      </c>
    </row>
    <row r="5" spans="1:3">
      <c r="A5" s="1" t="s">
        <v>50</v>
      </c>
      <c r="B5">
        <f>SUM(B2:B4)</f>
        <v>0</v>
      </c>
      <c r="C5" s="2">
        <f>SUM(C2:C4)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16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7</v>
      </c>
      <c r="C5" t="s">
        <v>10</v>
      </c>
      <c r="D5" t="s">
        <v>13</v>
      </c>
      <c r="E5">
        <v>4.36</v>
      </c>
    </row>
    <row r="6" spans="1:6">
      <c r="A6" t="s">
        <v>6</v>
      </c>
      <c r="B6" t="s">
        <v>8</v>
      </c>
      <c r="C6" t="s">
        <v>11</v>
      </c>
      <c r="D6" t="s">
        <v>14</v>
      </c>
      <c r="E6">
        <v>7.18</v>
      </c>
    </row>
    <row r="7" spans="1:6">
      <c r="A7" t="s">
        <v>6</v>
      </c>
      <c r="B7" t="s">
        <v>9</v>
      </c>
      <c r="C7" t="s">
        <v>12</v>
      </c>
      <c r="D7" t="s">
        <v>15</v>
      </c>
      <c r="E7">
        <v>5.06</v>
      </c>
    </row>
    <row r="8" spans="1:6">
      <c r="A8" t="s">
        <v>23</v>
      </c>
      <c r="E8">
        <v>16.6</v>
      </c>
    </row>
    <row r="9" spans="1:6">
      <c r="A9" t="s">
        <v>22</v>
      </c>
      <c r="E9" s="2">
        <v>17</v>
      </c>
    </row>
    <row r="10" spans="1:6">
      <c r="A10" t="s">
        <v>19</v>
      </c>
      <c r="E10" s="2">
        <f>E9 * E8</f>
        <v>0</v>
      </c>
    </row>
    <row r="13" spans="1:6">
      <c r="A13" s="1" t="s">
        <v>0</v>
      </c>
      <c r="B13" s="1" t="s">
        <v>1</v>
      </c>
      <c r="C13" s="1" t="s">
        <v>24</v>
      </c>
      <c r="D13" s="1" t="s">
        <v>25</v>
      </c>
      <c r="E13" s="1" t="s">
        <v>22</v>
      </c>
      <c r="F13" s="1" t="s">
        <v>5</v>
      </c>
    </row>
    <row r="14" spans="1:6">
      <c r="A14" t="s">
        <v>18</v>
      </c>
    </row>
    <row r="15" spans="1:6">
      <c r="A15" t="s">
        <v>19</v>
      </c>
      <c r="E15" s="2">
        <f>SUM(E14:E14)</f>
        <v>0</v>
      </c>
    </row>
    <row r="19" spans="1:6">
      <c r="A19" s="1" t="s">
        <v>20</v>
      </c>
      <c r="B19" s="1"/>
      <c r="C19" s="1"/>
      <c r="D19" s="1"/>
      <c r="E19" s="1"/>
      <c r="F19" s="1"/>
    </row>
    <row r="20" spans="1:6">
      <c r="A20" t="s">
        <v>26</v>
      </c>
      <c r="E20" s="2">
        <v>0</v>
      </c>
    </row>
    <row r="21" spans="1:6">
      <c r="A21" t="s">
        <v>21</v>
      </c>
      <c r="E21" s="2">
        <f>E10 + E15 + E20</f>
        <v>0</v>
      </c>
    </row>
    <row r="22" spans="1:6">
      <c r="A22" t="s">
        <v>27</v>
      </c>
      <c r="E22" s="2">
        <v>500</v>
      </c>
    </row>
    <row r="23" spans="1:6">
      <c r="A23" t="s">
        <v>28</v>
      </c>
      <c r="E23" s="2">
        <f>IF(E22=500, E21*0.10, 0)</f>
        <v>0</v>
      </c>
    </row>
    <row r="25" spans="1:6">
      <c r="A25" t="s">
        <v>19</v>
      </c>
      <c r="E25" s="5">
        <f>E21 - E23</f>
        <v>0</v>
      </c>
    </row>
  </sheetData>
  <mergeCells count="1">
    <mergeCell ref="A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38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7</v>
      </c>
      <c r="C5" t="s">
        <v>30</v>
      </c>
      <c r="D5" t="s">
        <v>34</v>
      </c>
      <c r="E5">
        <v>4.56</v>
      </c>
    </row>
    <row r="6" spans="1:6">
      <c r="A6" t="s">
        <v>6</v>
      </c>
      <c r="B6" t="s">
        <v>8</v>
      </c>
      <c r="C6" t="s">
        <v>31</v>
      </c>
      <c r="D6" t="s">
        <v>35</v>
      </c>
      <c r="E6">
        <v>7.28</v>
      </c>
    </row>
    <row r="7" spans="1:6">
      <c r="A7" t="s">
        <v>6</v>
      </c>
      <c r="B7" t="s">
        <v>29</v>
      </c>
      <c r="C7" t="s">
        <v>32</v>
      </c>
      <c r="D7" t="s">
        <v>36</v>
      </c>
      <c r="E7">
        <v>3.77</v>
      </c>
    </row>
    <row r="8" spans="1:6">
      <c r="A8" t="s">
        <v>6</v>
      </c>
      <c r="B8" t="s">
        <v>9</v>
      </c>
      <c r="C8" t="s">
        <v>33</v>
      </c>
      <c r="D8" t="s">
        <v>37</v>
      </c>
      <c r="E8">
        <v>5.11</v>
      </c>
    </row>
    <row r="9" spans="1:6">
      <c r="A9" t="s">
        <v>23</v>
      </c>
      <c r="E9">
        <v>20.72</v>
      </c>
    </row>
    <row r="10" spans="1:6">
      <c r="A10" t="s">
        <v>22</v>
      </c>
      <c r="E10" s="2">
        <v>15</v>
      </c>
    </row>
    <row r="11" spans="1:6">
      <c r="A11" t="s">
        <v>19</v>
      </c>
      <c r="E11" s="2">
        <f>E10 * E9</f>
        <v>0</v>
      </c>
    </row>
    <row r="14" spans="1:6">
      <c r="A14" s="1" t="s">
        <v>0</v>
      </c>
      <c r="B14" s="1" t="s">
        <v>1</v>
      </c>
      <c r="C14" s="1" t="s">
        <v>24</v>
      </c>
      <c r="D14" s="1" t="s">
        <v>25</v>
      </c>
      <c r="E14" s="1" t="s">
        <v>22</v>
      </c>
      <c r="F14" s="1" t="s">
        <v>5</v>
      </c>
    </row>
    <row r="15" spans="1:6">
      <c r="A15" t="s">
        <v>18</v>
      </c>
    </row>
    <row r="16" spans="1:6">
      <c r="A16" t="s">
        <v>19</v>
      </c>
      <c r="E16" s="2">
        <f>SUM(E15:E15)</f>
        <v>0</v>
      </c>
    </row>
    <row r="20" spans="1:6">
      <c r="A20" s="1" t="s">
        <v>20</v>
      </c>
      <c r="B20" s="1"/>
      <c r="C20" s="1"/>
      <c r="D20" s="1"/>
      <c r="E20" s="1"/>
      <c r="F20" s="1"/>
    </row>
    <row r="21" spans="1:6">
      <c r="A21" t="s">
        <v>26</v>
      </c>
      <c r="E21" s="2">
        <v>0</v>
      </c>
    </row>
    <row r="22" spans="1:6">
      <c r="A22" t="s">
        <v>21</v>
      </c>
      <c r="E22" s="2">
        <f>E11 + E16 + E21</f>
        <v>0</v>
      </c>
    </row>
    <row r="23" spans="1:6">
      <c r="A23" t="s">
        <v>27</v>
      </c>
      <c r="E23" s="6">
        <v>0</v>
      </c>
    </row>
    <row r="24" spans="1:6">
      <c r="A24" t="s">
        <v>28</v>
      </c>
      <c r="E24" s="2">
        <f>IF(E23=500, E22*0.10, 0)</f>
        <v>0</v>
      </c>
    </row>
    <row r="26" spans="1:6">
      <c r="A26" t="s">
        <v>19</v>
      </c>
      <c r="E26" s="5">
        <f>E22 - E24</f>
        <v>0</v>
      </c>
    </row>
  </sheetData>
  <mergeCells count="1">
    <mergeCell ref="A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43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7</v>
      </c>
      <c r="C5" t="s">
        <v>39</v>
      </c>
      <c r="D5" t="s">
        <v>41</v>
      </c>
      <c r="E5">
        <v>5.29</v>
      </c>
    </row>
    <row r="6" spans="1:6">
      <c r="A6" t="s">
        <v>6</v>
      </c>
      <c r="B6" t="s">
        <v>8</v>
      </c>
      <c r="C6" t="s">
        <v>40</v>
      </c>
      <c r="D6" t="s">
        <v>42</v>
      </c>
      <c r="E6">
        <v>8.130000000000001</v>
      </c>
    </row>
    <row r="7" spans="1:6">
      <c r="A7" t="s">
        <v>23</v>
      </c>
      <c r="E7">
        <v>13.42</v>
      </c>
    </row>
    <row r="8" spans="1:6">
      <c r="A8" t="s">
        <v>22</v>
      </c>
      <c r="E8" s="2">
        <v>17</v>
      </c>
    </row>
    <row r="9" spans="1:6">
      <c r="A9" t="s">
        <v>19</v>
      </c>
      <c r="E9" s="2">
        <f>E8 * E7</f>
        <v>0</v>
      </c>
    </row>
    <row r="12" spans="1:6">
      <c r="A12" s="1" t="s">
        <v>0</v>
      </c>
      <c r="B12" s="1" t="s">
        <v>1</v>
      </c>
      <c r="C12" s="1" t="s">
        <v>24</v>
      </c>
      <c r="D12" s="1" t="s">
        <v>25</v>
      </c>
      <c r="E12" s="1" t="s">
        <v>22</v>
      </c>
      <c r="F12" s="1" t="s">
        <v>5</v>
      </c>
    </row>
    <row r="13" spans="1:6">
      <c r="A13" t="s">
        <v>18</v>
      </c>
    </row>
    <row r="14" spans="1:6">
      <c r="A14" t="s">
        <v>19</v>
      </c>
      <c r="E14" s="2">
        <f>SUM(E13:E13)</f>
        <v>0</v>
      </c>
    </row>
    <row r="18" spans="1:6">
      <c r="A18" s="1" t="s">
        <v>20</v>
      </c>
      <c r="B18" s="1"/>
      <c r="C18" s="1"/>
      <c r="D18" s="1"/>
      <c r="E18" s="1"/>
      <c r="F18" s="1"/>
    </row>
    <row r="19" spans="1:6">
      <c r="A19" t="s">
        <v>26</v>
      </c>
      <c r="E19" s="2">
        <v>150</v>
      </c>
      <c r="F19" t="s">
        <v>44</v>
      </c>
    </row>
    <row r="20" spans="1:6">
      <c r="A20" t="s">
        <v>21</v>
      </c>
      <c r="E20" s="2">
        <f>E9 + E14 + E19</f>
        <v>0</v>
      </c>
    </row>
    <row r="21" spans="1:6">
      <c r="A21" t="s">
        <v>27</v>
      </c>
      <c r="E21" s="2">
        <v>500</v>
      </c>
    </row>
    <row r="22" spans="1:6">
      <c r="A22" t="s">
        <v>28</v>
      </c>
      <c r="E22" s="2">
        <f>IF(E21=500, E20*0.10, 0)</f>
        <v>0</v>
      </c>
    </row>
    <row r="24" spans="1:6">
      <c r="A24" t="s">
        <v>19</v>
      </c>
      <c r="E24" s="5">
        <f>E20 - E22</f>
        <v>0</v>
      </c>
    </row>
  </sheetData>
  <mergeCells count="1"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11089 - MARIA ARROYO MUNOZ</vt:lpstr>
      <vt:lpstr>14886 - NAISHA ROSA LEBRÓN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2025-11-27T01:10:44Z</dcterms:created>
  <dcterms:modified xsi:type="dcterms:W3CDTF">2025-11-27T01:10:44Z</dcterms:modified>
</cp:coreProperties>
</file>
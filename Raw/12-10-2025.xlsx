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11089 - MARIA ARROYO MUNOZ" sheetId="2" r:id="rId2"/>
    <sheet name="14886 - NAISHA ROSA LEBRÓN" sheetId="3" r:id="rId3"/>
    <sheet name="18353 - WILMARIE OCASIO ARROYO" sheetId="4" r:id="rId4"/>
  </sheets>
  <calcPr calcId="124519" fullCalcOnLoad="1"/>
</workbook>
</file>

<file path=xl/sharedStrings.xml><?xml version="1.0" encoding="utf-8"?>
<sst xmlns="http://schemas.openxmlformats.org/spreadsheetml/2006/main" count="114" uniqueCount="49">
  <si>
    <t>Location</t>
  </si>
  <si>
    <t>Date</t>
  </si>
  <si>
    <t>Start</t>
  </si>
  <si>
    <t>End</t>
  </si>
  <si>
    <t>Hours</t>
  </si>
  <si>
    <t>Details</t>
  </si>
  <si>
    <t>Maru</t>
  </si>
  <si>
    <t>12/05/2025</t>
  </si>
  <si>
    <t>12/06/2025</t>
  </si>
  <si>
    <t>12/07/2025</t>
  </si>
  <si>
    <t>09:53:33</t>
  </si>
  <si>
    <t>09:26:19</t>
  </si>
  <si>
    <t>09:20:47</t>
  </si>
  <si>
    <t>13:40:49</t>
  </si>
  <si>
    <t>15:27:05</t>
  </si>
  <si>
    <t>15:30:42</t>
  </si>
  <si>
    <t>Person ID: 11089, Name: MARIA ARROYO MUNOZ</t>
  </si>
  <si>
    <t>Period: 2025-12-04 to 2025-12-10</t>
  </si>
  <si>
    <t>Casa Damisela Apt 5, Mango Villas Apt 1, etc.</t>
  </si>
  <si>
    <t>Total $</t>
  </si>
  <si>
    <t>Summary</t>
  </si>
  <si>
    <t>Subtotal $</t>
  </si>
  <si>
    <t>Rate $</t>
  </si>
  <si>
    <t>Total hours</t>
  </si>
  <si>
    <t>Check-in</t>
  </si>
  <si>
    <t>Check-out</t>
  </si>
  <si>
    <t>Extras $</t>
  </si>
  <si>
    <t>Annual withheld, incl. today $ (limit $500)</t>
  </si>
  <si>
    <t>10% withheld today $</t>
  </si>
  <si>
    <t>12/10/2025</t>
  </si>
  <si>
    <t>09:35:15</t>
  </si>
  <si>
    <t>15:26:57</t>
  </si>
  <si>
    <t>Person ID: 14886, Name: NAISHA ROSA LEBRÓN</t>
  </si>
  <si>
    <t>12/04/2025</t>
  </si>
  <si>
    <t>12/08/2025</t>
  </si>
  <si>
    <t>08:39:42</t>
  </si>
  <si>
    <t>11:25:43</t>
  </si>
  <si>
    <t>09:07:02</t>
  </si>
  <si>
    <t>11:48:52</t>
  </si>
  <si>
    <t>15:30:49</t>
  </si>
  <si>
    <t>14:21:14</t>
  </si>
  <si>
    <t>Person ID: 18353, Name: WILMARIE OCASIO ARROYO</t>
  </si>
  <si>
    <t>Supervisor ($150)</t>
  </si>
  <si>
    <t>Person</t>
  </si>
  <si>
    <t>Total Hours</t>
  </si>
  <si>
    <t>11089 - MARIA ARROYO MUNOZ</t>
  </si>
  <si>
    <t>14886 - NAISHA ROSA LEBRÓN</t>
  </si>
  <si>
    <t>18353 - WILMARIE OCASIO ARROYO</t>
  </si>
  <si>
    <t>All sheets total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</si>
</sst>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5.7109375" customWidth="1"/>
    <col min="2" max="3" width="18.7109375" customWidth="1"/>
  </cols>
  <sheetData>
    <row r="1" spans="1:3">
      <c r="A1" s="1" t="s">
        <v>43</v>
      </c>
      <c r="B1" s="1" t="s">
        <v>44</v>
      </c>
      <c r="C1" s="1" t="s">
        <v>19</v>
      </c>
    </row>
    <row r="2" spans="1:3">
      <c r="A2" t="s">
        <v>45</v>
      </c>
      <c r="B2">
        <f>'11089 - MARIA ARROYO MUNOZ'!E8</f>
        <v>0</v>
      </c>
      <c r="C2" s="2">
        <f>'11089 - MARIA ARROYO MUNOZ'!E25</f>
        <v>0</v>
      </c>
    </row>
    <row r="3" spans="1:3">
      <c r="A3" t="s">
        <v>46</v>
      </c>
      <c r="B3">
        <f>'14886 - NAISHA ROSA LEBRÓN'!E6</f>
        <v>0</v>
      </c>
      <c r="C3" s="2">
        <f>'14886 - NAISHA ROSA LEBRÓN'!E23</f>
        <v>0</v>
      </c>
    </row>
    <row r="4" spans="1:3">
      <c r="A4" t="s">
        <v>47</v>
      </c>
      <c r="B4">
        <f>'18353 - WILMARIE OCASIO ARROYO'!E8</f>
        <v>0</v>
      </c>
      <c r="C4" s="2">
        <f>'18353 - WILMARIE OCASIO ARROYO'!E25</f>
        <v>0</v>
      </c>
    </row>
    <row r="5" spans="1:3">
      <c r="A5" s="1" t="s">
        <v>48</v>
      </c>
      <c r="B5">
        <f>SUM(B2:B4)</f>
        <v>0</v>
      </c>
      <c r="C5" s="2">
        <f>SUM(C2:C4)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4" width="20.7109375" customWidth="1"/>
    <col min="5" max="5" width="30.7109375" customWidth="1"/>
  </cols>
  <sheetData>
    <row r="1" spans="1:6">
      <c r="A1" s="3" t="s">
        <v>16</v>
      </c>
      <c r="B1" s="3"/>
    </row>
    <row r="2" spans="1:6">
      <c r="A2" t="s">
        <v>17</v>
      </c>
    </row>
    <row r="4" spans="1:6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</row>
    <row r="5" spans="1:6">
      <c r="A5" t="s">
        <v>6</v>
      </c>
      <c r="B5" t="s">
        <v>7</v>
      </c>
      <c r="C5" t="s">
        <v>10</v>
      </c>
      <c r="D5" t="s">
        <v>13</v>
      </c>
      <c r="E5">
        <v>3.79</v>
      </c>
    </row>
    <row r="6" spans="1:6">
      <c r="A6" t="s">
        <v>6</v>
      </c>
      <c r="B6" t="s">
        <v>8</v>
      </c>
      <c r="C6" t="s">
        <v>11</v>
      </c>
      <c r="D6" t="s">
        <v>14</v>
      </c>
      <c r="E6">
        <v>6.01</v>
      </c>
    </row>
    <row r="7" spans="1:6">
      <c r="A7" t="s">
        <v>6</v>
      </c>
      <c r="B7" t="s">
        <v>9</v>
      </c>
      <c r="C7" t="s">
        <v>12</v>
      </c>
      <c r="D7" t="s">
        <v>15</v>
      </c>
      <c r="E7">
        <v>6.17</v>
      </c>
    </row>
    <row r="8" spans="1:6">
      <c r="A8" t="s">
        <v>23</v>
      </c>
      <c r="E8">
        <v>15.97</v>
      </c>
    </row>
    <row r="9" spans="1:6">
      <c r="A9" t="s">
        <v>22</v>
      </c>
      <c r="E9" s="2">
        <v>17</v>
      </c>
    </row>
    <row r="10" spans="1:6">
      <c r="A10" t="s">
        <v>19</v>
      </c>
      <c r="E10" s="2">
        <f>E9 * E8</f>
        <v>0</v>
      </c>
    </row>
    <row r="13" spans="1:6">
      <c r="A13" s="1" t="s">
        <v>0</v>
      </c>
      <c r="B13" s="1" t="s">
        <v>1</v>
      </c>
      <c r="C13" s="1" t="s">
        <v>24</v>
      </c>
      <c r="D13" s="1" t="s">
        <v>25</v>
      </c>
      <c r="E13" s="1" t="s">
        <v>22</v>
      </c>
      <c r="F13" s="1" t="s">
        <v>5</v>
      </c>
    </row>
    <row r="14" spans="1:6">
      <c r="A14" t="s">
        <v>18</v>
      </c>
    </row>
    <row r="15" spans="1:6">
      <c r="A15" t="s">
        <v>19</v>
      </c>
      <c r="E15" s="2">
        <f>SUM(E14:E14)</f>
        <v>0</v>
      </c>
    </row>
    <row r="19" spans="1:6">
      <c r="A19" s="1" t="s">
        <v>20</v>
      </c>
      <c r="B19" s="1"/>
      <c r="C19" s="1"/>
      <c r="D19" s="1"/>
      <c r="E19" s="1"/>
      <c r="F19" s="1"/>
    </row>
    <row r="20" spans="1:6">
      <c r="A20" t="s">
        <v>26</v>
      </c>
      <c r="E20" s="2">
        <v>0</v>
      </c>
    </row>
    <row r="21" spans="1:6">
      <c r="A21" t="s">
        <v>21</v>
      </c>
      <c r="E21" s="2">
        <f>E10 + E15 + E20</f>
        <v>0</v>
      </c>
    </row>
    <row r="22" spans="1:6">
      <c r="A22" t="s">
        <v>27</v>
      </c>
      <c r="E22" s="2">
        <v>500</v>
      </c>
    </row>
    <row r="23" spans="1:6">
      <c r="A23" t="s">
        <v>28</v>
      </c>
      <c r="E23" s="2">
        <f>IF(E22=500,ROUNDDOWN(E21*0.10,2),0)</f>
        <v>0</v>
      </c>
    </row>
    <row r="25" spans="1:6">
      <c r="A25" t="s">
        <v>19</v>
      </c>
      <c r="E25" s="5">
        <f>E21 - E23</f>
        <v>0</v>
      </c>
    </row>
  </sheetData>
  <mergeCells count="1">
    <mergeCell ref="A19:F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cols>
    <col min="1" max="4" width="20.7109375" customWidth="1"/>
    <col min="5" max="5" width="30.7109375" customWidth="1"/>
  </cols>
  <sheetData>
    <row r="1" spans="1:6">
      <c r="A1" s="3" t="s">
        <v>32</v>
      </c>
      <c r="B1" s="3"/>
    </row>
    <row r="2" spans="1:6">
      <c r="A2" t="s">
        <v>17</v>
      </c>
    </row>
    <row r="4" spans="1:6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</row>
    <row r="5" spans="1:6">
      <c r="A5" t="s">
        <v>6</v>
      </c>
      <c r="B5" t="s">
        <v>29</v>
      </c>
      <c r="C5" t="s">
        <v>30</v>
      </c>
      <c r="D5" t="s">
        <v>31</v>
      </c>
      <c r="E5">
        <v>5.86</v>
      </c>
    </row>
    <row r="6" spans="1:6">
      <c r="A6" t="s">
        <v>23</v>
      </c>
      <c r="E6">
        <v>5.86</v>
      </c>
    </row>
    <row r="7" spans="1:6">
      <c r="A7" t="s">
        <v>22</v>
      </c>
      <c r="E7" s="2">
        <v>15.5</v>
      </c>
    </row>
    <row r="8" spans="1:6">
      <c r="A8" t="s">
        <v>19</v>
      </c>
      <c r="E8" s="2">
        <f>E7 * E6</f>
        <v>0</v>
      </c>
    </row>
    <row r="11" spans="1:6">
      <c r="A11" s="1" t="s">
        <v>0</v>
      </c>
      <c r="B11" s="1" t="s">
        <v>1</v>
      </c>
      <c r="C11" s="1" t="s">
        <v>24</v>
      </c>
      <c r="D11" s="1" t="s">
        <v>25</v>
      </c>
      <c r="E11" s="1" t="s">
        <v>22</v>
      </c>
      <c r="F11" s="1" t="s">
        <v>5</v>
      </c>
    </row>
    <row r="12" spans="1:6">
      <c r="A12" t="s">
        <v>18</v>
      </c>
    </row>
    <row r="13" spans="1:6">
      <c r="A13" t="s">
        <v>19</v>
      </c>
      <c r="E13" s="2">
        <f>SUM(E12:E12)</f>
        <v>0</v>
      </c>
    </row>
    <row r="17" spans="1:6">
      <c r="A17" s="1" t="s">
        <v>20</v>
      </c>
      <c r="B17" s="1"/>
      <c r="C17" s="1"/>
      <c r="D17" s="1"/>
      <c r="E17" s="1"/>
      <c r="F17" s="1"/>
    </row>
    <row r="18" spans="1:6">
      <c r="A18" t="s">
        <v>26</v>
      </c>
      <c r="E18" s="2">
        <v>0</v>
      </c>
    </row>
    <row r="19" spans="1:6">
      <c r="A19" t="s">
        <v>21</v>
      </c>
      <c r="E19" s="2">
        <f>E8 + E13 + E18</f>
        <v>0</v>
      </c>
    </row>
    <row r="20" spans="1:6">
      <c r="A20" t="s">
        <v>27</v>
      </c>
      <c r="E20" s="2">
        <v>500</v>
      </c>
    </row>
    <row r="21" spans="1:6">
      <c r="A21" t="s">
        <v>28</v>
      </c>
      <c r="E21" s="2">
        <f>IF(E20=500,ROUNDDOWN(E19*0.10,2),0)</f>
        <v>0</v>
      </c>
    </row>
    <row r="23" spans="1:6">
      <c r="A23" t="s">
        <v>19</v>
      </c>
      <c r="E23" s="5">
        <f>E19 - E21</f>
        <v>0</v>
      </c>
    </row>
  </sheetData>
  <mergeCells count="1">
    <mergeCell ref="A17:F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4" width="20.7109375" customWidth="1"/>
    <col min="5" max="5" width="30.7109375" customWidth="1"/>
  </cols>
  <sheetData>
    <row r="1" spans="1:6">
      <c r="A1" s="3" t="s">
        <v>41</v>
      </c>
      <c r="B1" s="3"/>
    </row>
    <row r="2" spans="1:6">
      <c r="A2" t="s">
        <v>17</v>
      </c>
    </row>
    <row r="4" spans="1:6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</row>
    <row r="5" spans="1:6">
      <c r="A5" t="s">
        <v>6</v>
      </c>
      <c r="B5" t="s">
        <v>33</v>
      </c>
      <c r="C5" t="s">
        <v>35</v>
      </c>
      <c r="D5" t="s">
        <v>38</v>
      </c>
      <c r="E5">
        <v>3.15</v>
      </c>
    </row>
    <row r="6" spans="1:6">
      <c r="A6" t="s">
        <v>6</v>
      </c>
      <c r="B6" t="s">
        <v>9</v>
      </c>
      <c r="C6" t="s">
        <v>36</v>
      </c>
      <c r="D6" t="s">
        <v>39</v>
      </c>
      <c r="E6">
        <v>4.08</v>
      </c>
    </row>
    <row r="7" spans="1:6">
      <c r="A7" t="s">
        <v>6</v>
      </c>
      <c r="B7" t="s">
        <v>34</v>
      </c>
      <c r="C7" t="s">
        <v>37</v>
      </c>
      <c r="D7" t="s">
        <v>40</v>
      </c>
      <c r="E7">
        <v>5.24</v>
      </c>
    </row>
    <row r="8" spans="1:6">
      <c r="A8" t="s">
        <v>23</v>
      </c>
      <c r="E8">
        <v>12.47</v>
      </c>
    </row>
    <row r="9" spans="1:6">
      <c r="A9" t="s">
        <v>22</v>
      </c>
      <c r="E9" s="2">
        <v>17</v>
      </c>
    </row>
    <row r="10" spans="1:6">
      <c r="A10" t="s">
        <v>19</v>
      </c>
      <c r="E10" s="2">
        <f>E9 * E8</f>
        <v>0</v>
      </c>
    </row>
    <row r="13" spans="1:6">
      <c r="A13" s="1" t="s">
        <v>0</v>
      </c>
      <c r="B13" s="1" t="s">
        <v>1</v>
      </c>
      <c r="C13" s="1" t="s">
        <v>24</v>
      </c>
      <c r="D13" s="1" t="s">
        <v>25</v>
      </c>
      <c r="E13" s="1" t="s">
        <v>22</v>
      </c>
      <c r="F13" s="1" t="s">
        <v>5</v>
      </c>
    </row>
    <row r="14" spans="1:6">
      <c r="A14" t="s">
        <v>18</v>
      </c>
    </row>
    <row r="15" spans="1:6">
      <c r="A15" t="s">
        <v>19</v>
      </c>
      <c r="E15" s="2">
        <f>SUM(E14:E14)</f>
        <v>0</v>
      </c>
    </row>
    <row r="19" spans="1:6">
      <c r="A19" s="1" t="s">
        <v>20</v>
      </c>
      <c r="B19" s="1"/>
      <c r="C19" s="1"/>
      <c r="D19" s="1"/>
      <c r="E19" s="1"/>
      <c r="F19" s="1"/>
    </row>
    <row r="20" spans="1:6">
      <c r="A20" t="s">
        <v>26</v>
      </c>
      <c r="E20" s="2">
        <v>150</v>
      </c>
      <c r="F20" t="s">
        <v>42</v>
      </c>
    </row>
    <row r="21" spans="1:6">
      <c r="A21" t="s">
        <v>21</v>
      </c>
      <c r="E21" s="2">
        <f>E10 + E15 + E20</f>
        <v>0</v>
      </c>
    </row>
    <row r="22" spans="1:6">
      <c r="A22" t="s">
        <v>27</v>
      </c>
      <c r="E22" s="2">
        <v>500</v>
      </c>
    </row>
    <row r="23" spans="1:6">
      <c r="A23" t="s">
        <v>28</v>
      </c>
      <c r="E23" s="2">
        <f>IF(E22=500,ROUNDDOWN(E21*0.10,2),0)</f>
        <v>0</v>
      </c>
    </row>
    <row r="25" spans="1:6">
      <c r="A25" t="s">
        <v>19</v>
      </c>
      <c r="E25" s="5">
        <f>E21 - E23</f>
        <v>0</v>
      </c>
    </row>
  </sheetData>
  <mergeCells count="1">
    <mergeCell ref="A19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11089 - MARIA ARROYO MUNOZ</vt:lpstr>
      <vt:lpstr>14886 - NAISHA ROSA LEBRÓN</vt:lpstr>
      <vt:lpstr>18353 - WILMARIE OCASIO ARROYO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2025-12-11T12:45:42Z</dcterms:created>
  <dcterms:modified xsi:type="dcterms:W3CDTF">2025-12-11T12:45:42Z</dcterms:modified>
</cp:coreProperties>
</file>